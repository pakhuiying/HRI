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u-my.sharepoint.com/personal/hypak_smu_edu_sg/Documents/Documents/Projects/HRI/Weights_Thresholds/"/>
    </mc:Choice>
  </mc:AlternateContent>
  <xr:revisionPtr revIDLastSave="247" documentId="8_{EFCB0F1D-5367-4F7D-B768-84B8FA7A61EA}" xr6:coauthVersionLast="47" xr6:coauthVersionMax="47" xr10:uidLastSave="{11FE9664-EB0A-461F-A6D4-C7BC5CA310CF}"/>
  <bookViews>
    <workbookView xWindow="-96" yWindow="0" windowWidth="11712" windowHeight="12336" firstSheet="2" activeTab="4" xr2:uid="{68A6316B-8DEE-40CE-874A-D221F716060B}"/>
  </bookViews>
  <sheets>
    <sheet name="Sensitivity" sheetId="3" r:id="rId1"/>
    <sheet name="Capacity" sheetId="4" r:id="rId2"/>
    <sheet name="Day" sheetId="1" r:id="rId3"/>
    <sheet name="Night" sheetId="2" r:id="rId4"/>
    <sheet name="Threshold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C9" i="5"/>
  <c r="E3" i="2"/>
  <c r="E4" i="2"/>
  <c r="E5" i="2"/>
  <c r="E6" i="2"/>
  <c r="E7" i="2"/>
  <c r="E8" i="2"/>
  <c r="E9" i="2"/>
  <c r="E10" i="2"/>
  <c r="E11" i="2"/>
  <c r="E12" i="2"/>
  <c r="E2" i="2"/>
  <c r="D12" i="2"/>
  <c r="D11" i="2"/>
  <c r="D10" i="2"/>
  <c r="D9" i="2"/>
  <c r="D8" i="2"/>
  <c r="D7" i="2"/>
  <c r="D6" i="2"/>
  <c r="D5" i="2"/>
  <c r="D4" i="2"/>
  <c r="D3" i="2"/>
  <c r="D2" i="2"/>
  <c r="E3" i="1"/>
  <c r="E4" i="1"/>
  <c r="E5" i="1"/>
  <c r="E6" i="1"/>
  <c r="E7" i="1"/>
  <c r="E8" i="1"/>
  <c r="E9" i="1"/>
  <c r="E10" i="1"/>
  <c r="E11" i="1"/>
  <c r="E12" i="1"/>
  <c r="E2" i="1"/>
  <c r="D12" i="1"/>
  <c r="D11" i="1"/>
  <c r="D10" i="1"/>
  <c r="D9" i="1"/>
  <c r="D8" i="1"/>
  <c r="D7" i="1"/>
  <c r="D6" i="1"/>
  <c r="D5" i="1"/>
  <c r="D4" i="1"/>
  <c r="D3" i="1"/>
  <c r="D2" i="1"/>
  <c r="H3" i="4"/>
  <c r="J3" i="4" s="1"/>
  <c r="H4" i="4"/>
  <c r="H5" i="4"/>
  <c r="J5" i="4" s="1"/>
  <c r="H6" i="4"/>
  <c r="J6" i="4" s="1"/>
  <c r="H7" i="4"/>
  <c r="J7" i="4" s="1"/>
  <c r="H8" i="4"/>
  <c r="J8" i="4" s="1"/>
  <c r="H9" i="4"/>
  <c r="J9" i="4" s="1"/>
  <c r="H10" i="4"/>
  <c r="J10" i="4" s="1"/>
  <c r="H11" i="4"/>
  <c r="J11" i="4" s="1"/>
  <c r="H12" i="4"/>
  <c r="J12" i="4" s="1"/>
  <c r="H13" i="4"/>
  <c r="J13" i="4" s="1"/>
  <c r="H2" i="4"/>
  <c r="J2" i="4" s="1"/>
  <c r="F3" i="3"/>
  <c r="H3" i="3" s="1"/>
  <c r="F4" i="3"/>
  <c r="H4" i="3" s="1"/>
  <c r="F5" i="3"/>
  <c r="H5" i="3" s="1"/>
  <c r="F6" i="3"/>
  <c r="H6" i="3" s="1"/>
  <c r="F7" i="3"/>
  <c r="H7" i="3" s="1"/>
  <c r="F8" i="3"/>
  <c r="H8" i="3" s="1"/>
  <c r="F9" i="3"/>
  <c r="H9" i="3" s="1"/>
  <c r="F10" i="3"/>
  <c r="H10" i="3" s="1"/>
  <c r="F11" i="3"/>
  <c r="H11" i="3" s="1"/>
  <c r="F2" i="3"/>
  <c r="H2" i="3" s="1"/>
  <c r="J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tc={1BFC3EEB-9FFA-4BF8-B388-B3AE8ECA77F0}</author>
    <author>tc={458F624F-EE60-4AFD-AFA8-7C5CF5B519C8}</author>
  </authors>
  <commentList>
    <comment ref="B4" authorId="0" shapeId="0" xr:uid="{1BFC3EEB-9FFA-4BF8-B388-B3AE8ECA77F0}">
      <text>
        <t>[Threaded comment]
Your version of Excel allows you to read this threaded comment; however, any edits to it will get removed if the file is opened in a newer version of Excel. Learn more: https://go.microsoft.com/fwlink/?linkid=870924
Comment:
    (human as resource)</t>
      </text>
    </comment>
    <comment ref="B5" authorId="1" shapeId="0" xr:uid="{458F624F-EE60-4AFD-AFA8-7C5CF5B519C8}">
      <text>
        <t>[Threaded comment]
Your version of Excel allows you to read this threaded comment; however, any edits to it will get removed if the file is opened in a newer version of Excel. Learn more: https://go.microsoft.com/fwlink/?linkid=870924
Comment:
    (lack autonomy)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tc={5ED86C40-DA53-489C-9C90-CF227A6AC629}</author>
  </authors>
  <commentList>
    <comment ref="E1" authorId="0" shapeId="0" xr:uid="{5ED86C40-DA53-489C-9C90-CF227A6AC629}">
      <text>
        <t>[Threaded comment]
Your version of Excel allows you to read this threaded comment; however, any edits to it will get removed if the file is opened in a newer version of Excel. Learn more: https://go.microsoft.com/fwlink/?linkid=870924
Comment:
    minor heat stress (+1) / severe heat stress (+2)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tc={A4BD3D94-74B3-45D2-B84D-0325E2D1C571}</author>
    <author>tc={444686FF-3DFB-4E19-AF03-D4F509177A11}</author>
  </authors>
  <commentList>
    <comment ref="A4" authorId="0" shapeId="0" xr:uid="{A4BD3D94-74B3-45D2-B84D-0325E2D1C571}">
      <text>
        <t>[Threaded comment]
Your version of Excel allows you to read this threaded comment; however, any edits to it will get removed if the file is opened in a newer version of Excel. Learn more: https://go.microsoft.com/fwlink/?linkid=870924
Comment:
    (human as resource)</t>
      </text>
    </comment>
    <comment ref="A5" authorId="1" shapeId="0" xr:uid="{444686FF-3DFB-4E19-AF03-D4F509177A11}">
      <text>
        <t>[Threaded comment]
Your version of Excel allows you to read this threaded comment; however, any edits to it will get removed if the file is opened in a newer version of Excel. Learn more: https://go.microsoft.com/fwlink/?linkid=870924
Comment:
    (lack autonomy)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tc={00583F60-806F-4069-8714-5275CEE206D8}</author>
    <author>tc={ADEE7B6F-1AF5-4DB6-81D7-ECE2F1BC25F1}</author>
  </authors>
  <commentList>
    <comment ref="A4" authorId="0" shapeId="0" xr:uid="{00583F60-806F-4069-8714-5275CEE206D8}">
      <text>
        <t>[Threaded comment]
Your version of Excel allows you to read this threaded comment; however, any edits to it will get removed if the file is opened in a newer version of Excel. Learn more: https://go.microsoft.com/fwlink/?linkid=870924
Comment:
    (human as resource)</t>
      </text>
    </comment>
    <comment ref="A5" authorId="1" shapeId="0" xr:uid="{ADEE7B6F-1AF5-4DB6-81D7-ECE2F1BC25F1}">
      <text>
        <t>[Threaded comment]
Your version of Excel allows you to read this threaded comment; however, any edits to it will get removed if the file is opened in a newer version of Excel. Learn more: https://go.microsoft.com/fwlink/?linkid=870924
Comment:
    (lack autonomy)</t>
      </text>
    </comment>
  </commentList>
</comments>
</file>

<file path=xl/sharedStrings.xml><?xml version="1.0" encoding="utf-8"?>
<sst xmlns="http://schemas.openxmlformats.org/spreadsheetml/2006/main" count="126" uniqueCount="41">
  <si>
    <t>Physiologically susceptible (2)</t>
  </si>
  <si>
    <t>Inhibited accessibility to resource (1)</t>
  </si>
  <si>
    <t>Score</t>
  </si>
  <si>
    <t>Children Population</t>
  </si>
  <si>
    <t>Elderly Population</t>
  </si>
  <si>
    <t>Social Isolation</t>
  </si>
  <si>
    <t>Functional Disability</t>
  </si>
  <si>
    <t>Chronic Diseases</t>
  </si>
  <si>
    <t>Proactive (2)</t>
  </si>
  <si>
    <t>Personal (2)</t>
  </si>
  <si>
    <t>Institutional (1)</t>
  </si>
  <si>
    <t>Financial Capacity</t>
  </si>
  <si>
    <t>AC Ownership</t>
  </si>
  <si>
    <t>Minor Medical Treatment Availability</t>
  </si>
  <si>
    <t>Comprehensive Medical Treatment Accessibility</t>
  </si>
  <si>
    <t>Shade Potential</t>
  </si>
  <si>
    <t>Public Transport</t>
  </si>
  <si>
    <t>Variable</t>
  </si>
  <si>
    <t>Daytime</t>
  </si>
  <si>
    <t>Time</t>
  </si>
  <si>
    <t>Nighttime</t>
  </si>
  <si>
    <t>Reactive (+1/2)</t>
  </si>
  <si>
    <t>Normalised score</t>
  </si>
  <si>
    <t>Total Potential Score</t>
  </si>
  <si>
    <t>Conditional Factor</t>
  </si>
  <si>
    <t>Vulnerability Factor Score</t>
  </si>
  <si>
    <t>Conditional Vulnerability Score</t>
  </si>
  <si>
    <t>Weight</t>
  </si>
  <si>
    <t>lower_break</t>
  </si>
  <si>
    <t>upper_break</t>
  </si>
  <si>
    <t>Prepubescent Population</t>
  </si>
  <si>
    <t>Socially Isolated</t>
  </si>
  <si>
    <t>Functionally Disabled</t>
  </si>
  <si>
    <t>Public Transport Accessibility</t>
  </si>
  <si>
    <t>Threshold_type</t>
  </si>
  <si>
    <t>perc</t>
  </si>
  <si>
    <t>guideline-based</t>
  </si>
  <si>
    <t>Hottest WBGT</t>
  </si>
  <si>
    <t>Min TA</t>
  </si>
  <si>
    <t>Daytime Population</t>
  </si>
  <si>
    <t>Nighttime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</si>
</sst>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9" fontId="0" fillId="0" borderId="0" xfId="1" applyFont="1"/>
    <xf numFmtId="0" fontId="0" fillId="0" borderId="0" xfId="0" applyAlignment="1">
      <alignment wrapText="1"/>
    </xf>
    <xf numFmtId="0" fontId="0" fillId="2" borderId="0" xfId="0" applyFill="1"/>
    <xf numFmtId="0" fontId="2" fillId="0" borderId="0" xfId="0" applyFont="1"/>
    <xf numFmtId="0" fontId="2" fillId="0" borderId="0" xfId="0" applyFont="1" applyAlignment="1">
      <alignment wrapText="1"/>
    </xf>
    <xf numFmtId="0" fontId="0" fillId="3" borderId="0" xfId="0" applyFill="1"/>
    <xf numFmtId="2" fontId="2" fillId="0" borderId="0" xfId="0" applyNumberFormat="1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K Hui Ying" id="{67667BC1-71DD-44D2-9151-13086CEBAED7}" userId="S::hypak@smu.edu.sg::a4b93be5-2548-4eea-9324-1763e5ac05e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6-01-23T16:19:54.70" personId="{67667BC1-71DD-44D2-9151-13086CEBAED7}" id="{1BFC3EEB-9FFA-4BF8-B388-B3AE8ECA77F0}">
    <text>(human as resource)</text>
  </threadedComment>
  <threadedComment ref="B5" dT="2026-01-23T16:20:25.15" personId="{67667BC1-71DD-44D2-9151-13086CEBAED7}" id="{458F624F-EE60-4AFD-AFA8-7C5CF5B519C8}">
    <text>(lack autonomy)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6-01-24T00:16:54.18" personId="{67667BC1-71DD-44D2-9151-13086CEBAED7}" id="{5ED86C40-DA53-489C-9C90-CF227A6AC629}">
    <text>minor heat stress (+1) / severe heat stress (+2)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4" dT="2026-01-23T16:19:54.70" personId="{67667BC1-71DD-44D2-9151-13086CEBAED7}" id="{A4BD3D94-74B3-45D2-B84D-0325E2D1C571}">
    <text>(human as resource)</text>
  </threadedComment>
  <threadedComment ref="A5" dT="2026-01-23T16:20:25.15" personId="{67667BC1-71DD-44D2-9151-13086CEBAED7}" id="{444686FF-3DFB-4E19-AF03-D4F509177A11}">
    <text>(lack autonomy)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4" dT="2026-01-23T16:19:54.70" personId="{67667BC1-71DD-44D2-9151-13086CEBAED7}" id="{00583F60-806F-4069-8714-5275CEE206D8}">
    <text>(human as resource)</text>
  </threadedComment>
  <threadedComment ref="A5" dT="2026-01-23T16:20:25.15" personId="{67667BC1-71DD-44D2-9151-13086CEBAED7}" id="{ADEE7B6F-1AF5-4DB6-81D7-ECE2F1BC25F1}">
    <text>(lack autonomy)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A5E5-BD09-4C5F-A9F7-86B40FAC9AA9}">
  <dimension ref="A1:H11"/>
  <sheetViews>
    <sheetView topLeftCell="C1" workbookViewId="0">
      <selection activeCell="F7" sqref="F7:F11"/>
    </sheetView>
  </sheetViews>
  <sheetFormatPr defaultRowHeight="14.4" x14ac:dyDescent="0.3"/>
  <cols>
    <col min="2" max="2" width="17.21875" bestFit="1" customWidth="1"/>
    <col min="3" max="3" width="17.21875" customWidth="1"/>
    <col min="4" max="4" width="26.6640625" bestFit="1" customWidth="1"/>
    <col min="5" max="5" width="32.33203125" bestFit="1" customWidth="1"/>
    <col min="6" max="6" width="7" bestFit="1" customWidth="1"/>
    <col min="7" max="7" width="18.44140625" customWidth="1"/>
    <col min="8" max="8" width="16.109375" customWidth="1"/>
  </cols>
  <sheetData>
    <row r="1" spans="1:8" x14ac:dyDescent="0.3">
      <c r="A1" s="5" t="s">
        <v>19</v>
      </c>
      <c r="B1" s="5" t="s">
        <v>17</v>
      </c>
      <c r="C1" s="5" t="s">
        <v>24</v>
      </c>
      <c r="D1" s="5" t="s">
        <v>0</v>
      </c>
      <c r="E1" s="5" t="s">
        <v>1</v>
      </c>
      <c r="F1" s="5" t="s">
        <v>2</v>
      </c>
      <c r="G1" s="6" t="s">
        <v>23</v>
      </c>
      <c r="H1" s="5" t="s">
        <v>22</v>
      </c>
    </row>
    <row r="2" spans="1:8" x14ac:dyDescent="0.3">
      <c r="A2" s="4" t="s">
        <v>18</v>
      </c>
      <c r="B2" s="4" t="s">
        <v>3</v>
      </c>
      <c r="C2" s="4">
        <v>4</v>
      </c>
      <c r="D2" s="4">
        <v>2</v>
      </c>
      <c r="E2" s="4">
        <v>1</v>
      </c>
      <c r="F2" s="4">
        <f>SUM(D2:E2)</f>
        <v>3</v>
      </c>
      <c r="G2" s="4">
        <v>3</v>
      </c>
      <c r="H2" s="4">
        <f>F2/G2</f>
        <v>1</v>
      </c>
    </row>
    <row r="3" spans="1:8" x14ac:dyDescent="0.3">
      <c r="A3" s="4" t="s">
        <v>18</v>
      </c>
      <c r="B3" s="4" t="s">
        <v>4</v>
      </c>
      <c r="C3" s="4">
        <v>4</v>
      </c>
      <c r="D3" s="4">
        <v>2</v>
      </c>
      <c r="E3" s="4">
        <v>0</v>
      </c>
      <c r="F3" s="4">
        <f t="shared" ref="F3:F11" si="0">SUM(D3:E3)</f>
        <v>2</v>
      </c>
      <c r="G3" s="4">
        <v>3</v>
      </c>
      <c r="H3" s="4">
        <f t="shared" ref="H3:H11" si="1">F3/G3</f>
        <v>0.66666666666666663</v>
      </c>
    </row>
    <row r="4" spans="1:8" x14ac:dyDescent="0.3">
      <c r="A4" s="4" t="s">
        <v>18</v>
      </c>
      <c r="B4" s="4" t="s">
        <v>5</v>
      </c>
      <c r="C4" s="4">
        <v>4</v>
      </c>
      <c r="D4" s="4">
        <v>0</v>
      </c>
      <c r="E4" s="4">
        <v>1</v>
      </c>
      <c r="F4" s="4">
        <f t="shared" si="0"/>
        <v>1</v>
      </c>
      <c r="G4" s="4">
        <v>3</v>
      </c>
      <c r="H4" s="4">
        <f t="shared" si="1"/>
        <v>0.33333333333333331</v>
      </c>
    </row>
    <row r="5" spans="1:8" x14ac:dyDescent="0.3">
      <c r="A5" s="4" t="s">
        <v>18</v>
      </c>
      <c r="B5" s="4" t="s">
        <v>6</v>
      </c>
      <c r="C5" s="4">
        <v>4</v>
      </c>
      <c r="D5" s="4">
        <v>0</v>
      </c>
      <c r="E5" s="4">
        <v>1</v>
      </c>
      <c r="F5" s="4">
        <f t="shared" si="0"/>
        <v>1</v>
      </c>
      <c r="G5" s="4">
        <v>3</v>
      </c>
      <c r="H5" s="4">
        <f t="shared" si="1"/>
        <v>0.33333333333333331</v>
      </c>
    </row>
    <row r="6" spans="1:8" x14ac:dyDescent="0.3">
      <c r="A6" s="4" t="s">
        <v>18</v>
      </c>
      <c r="B6" s="4" t="s">
        <v>7</v>
      </c>
      <c r="C6" s="4">
        <v>4</v>
      </c>
      <c r="D6" s="4">
        <v>2</v>
      </c>
      <c r="E6" s="4">
        <v>0</v>
      </c>
      <c r="F6" s="4">
        <f t="shared" si="0"/>
        <v>2</v>
      </c>
      <c r="G6" s="4">
        <v>3</v>
      </c>
      <c r="H6" s="4">
        <f t="shared" si="1"/>
        <v>0.66666666666666663</v>
      </c>
    </row>
    <row r="7" spans="1:8" x14ac:dyDescent="0.3">
      <c r="A7" s="7" t="s">
        <v>20</v>
      </c>
      <c r="B7" s="7" t="s">
        <v>3</v>
      </c>
      <c r="C7" s="7">
        <v>4</v>
      </c>
      <c r="D7" s="7">
        <v>2</v>
      </c>
      <c r="E7" s="7">
        <v>1</v>
      </c>
      <c r="F7" s="7">
        <f t="shared" si="0"/>
        <v>3</v>
      </c>
      <c r="G7" s="7">
        <v>3</v>
      </c>
      <c r="H7" s="7">
        <f t="shared" si="1"/>
        <v>1</v>
      </c>
    </row>
    <row r="8" spans="1:8" x14ac:dyDescent="0.3">
      <c r="A8" s="7" t="s">
        <v>20</v>
      </c>
      <c r="B8" s="7" t="s">
        <v>4</v>
      </c>
      <c r="C8" s="7">
        <v>4</v>
      </c>
      <c r="D8" s="7">
        <v>2</v>
      </c>
      <c r="E8" s="7">
        <v>0</v>
      </c>
      <c r="F8" s="7">
        <f t="shared" si="0"/>
        <v>2</v>
      </c>
      <c r="G8" s="7">
        <v>3</v>
      </c>
      <c r="H8" s="7">
        <f t="shared" si="1"/>
        <v>0.66666666666666663</v>
      </c>
    </row>
    <row r="9" spans="1:8" x14ac:dyDescent="0.3">
      <c r="A9" s="7" t="s">
        <v>20</v>
      </c>
      <c r="B9" s="7" t="s">
        <v>5</v>
      </c>
      <c r="C9" s="7">
        <v>4</v>
      </c>
      <c r="D9" s="7">
        <v>0</v>
      </c>
      <c r="E9" s="7">
        <v>1</v>
      </c>
      <c r="F9" s="7">
        <f t="shared" si="0"/>
        <v>1</v>
      </c>
      <c r="G9" s="7">
        <v>3</v>
      </c>
      <c r="H9" s="7">
        <f t="shared" si="1"/>
        <v>0.33333333333333331</v>
      </c>
    </row>
    <row r="10" spans="1:8" x14ac:dyDescent="0.3">
      <c r="A10" s="7" t="s">
        <v>20</v>
      </c>
      <c r="B10" s="7" t="s">
        <v>6</v>
      </c>
      <c r="C10" s="7">
        <v>4</v>
      </c>
      <c r="D10" s="7">
        <v>0</v>
      </c>
      <c r="E10" s="7">
        <v>1</v>
      </c>
      <c r="F10" s="7">
        <f t="shared" si="0"/>
        <v>1</v>
      </c>
      <c r="G10" s="7">
        <v>3</v>
      </c>
      <c r="H10" s="7">
        <f t="shared" si="1"/>
        <v>0.33333333333333331</v>
      </c>
    </row>
    <row r="11" spans="1:8" x14ac:dyDescent="0.3">
      <c r="A11" s="7" t="s">
        <v>20</v>
      </c>
      <c r="B11" s="7" t="s">
        <v>7</v>
      </c>
      <c r="C11" s="7">
        <v>4</v>
      </c>
      <c r="D11" s="7">
        <v>2</v>
      </c>
      <c r="E11" s="7">
        <v>0</v>
      </c>
      <c r="F11" s="7">
        <f t="shared" si="0"/>
        <v>2</v>
      </c>
      <c r="G11" s="7">
        <v>3</v>
      </c>
      <c r="H11" s="7">
        <f t="shared" si="1"/>
        <v>0.66666666666666663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0FDC-9552-4171-8F71-735893607A2E}">
  <dimension ref="A1:J13"/>
  <sheetViews>
    <sheetView topLeftCell="C1" workbookViewId="0">
      <selection activeCell="H8" sqref="H8:H13"/>
    </sheetView>
  </sheetViews>
  <sheetFormatPr defaultRowHeight="14.4" x14ac:dyDescent="0.3"/>
  <cols>
    <col min="1" max="1" width="11.5546875" customWidth="1"/>
    <col min="2" max="2" width="39.88671875" bestFit="1" customWidth="1"/>
    <col min="3" max="3" width="16.77734375" customWidth="1"/>
    <col min="4" max="4" width="11.77734375" customWidth="1"/>
    <col min="5" max="5" width="14.44140625" customWidth="1"/>
    <col min="6" max="6" width="10.88671875" bestFit="1" customWidth="1"/>
    <col min="7" max="7" width="13.77734375" customWidth="1"/>
    <col min="8" max="8" width="5.77734375" bestFit="1" customWidth="1"/>
    <col min="9" max="9" width="18.5546875" customWidth="1"/>
    <col min="10" max="10" width="16.6640625" customWidth="1"/>
  </cols>
  <sheetData>
    <row r="1" spans="1:10" ht="22.2" customHeight="1" x14ac:dyDescent="0.3">
      <c r="A1" s="6" t="s">
        <v>19</v>
      </c>
      <c r="B1" s="5" t="s">
        <v>17</v>
      </c>
      <c r="C1" s="5" t="s">
        <v>24</v>
      </c>
      <c r="D1" s="6" t="s">
        <v>8</v>
      </c>
      <c r="E1" s="6" t="s">
        <v>21</v>
      </c>
      <c r="F1" s="6" t="s">
        <v>9</v>
      </c>
      <c r="G1" s="6" t="s">
        <v>10</v>
      </c>
      <c r="H1" s="6" t="s">
        <v>2</v>
      </c>
      <c r="I1" s="6" t="s">
        <v>23</v>
      </c>
      <c r="J1" s="6" t="s">
        <v>22</v>
      </c>
    </row>
    <row r="2" spans="1:10" x14ac:dyDescent="0.3">
      <c r="A2" s="4" t="s">
        <v>18</v>
      </c>
      <c r="B2" s="4" t="s">
        <v>11</v>
      </c>
      <c r="C2" s="4">
        <v>2</v>
      </c>
      <c r="D2" s="4">
        <v>2</v>
      </c>
      <c r="E2" s="4">
        <v>1</v>
      </c>
      <c r="F2" s="4">
        <v>2</v>
      </c>
      <c r="G2" s="4">
        <v>0</v>
      </c>
      <c r="H2" s="4">
        <f>SUM(D2:G2)</f>
        <v>5</v>
      </c>
      <c r="I2" s="4">
        <v>7</v>
      </c>
      <c r="J2" s="4">
        <f>H2/I2</f>
        <v>0.7142857142857143</v>
      </c>
    </row>
    <row r="3" spans="1:10" x14ac:dyDescent="0.3">
      <c r="A3" s="4" t="s">
        <v>18</v>
      </c>
      <c r="B3" s="4" t="s">
        <v>12</v>
      </c>
      <c r="C3" s="4">
        <v>1</v>
      </c>
      <c r="D3" s="4">
        <v>2</v>
      </c>
      <c r="E3" s="4">
        <v>0</v>
      </c>
      <c r="F3" s="4">
        <v>2</v>
      </c>
      <c r="G3" s="4">
        <v>0</v>
      </c>
      <c r="H3" s="4">
        <f t="shared" ref="H3:H13" si="0">SUM(D3:G3)</f>
        <v>4</v>
      </c>
      <c r="I3" s="4">
        <v>7</v>
      </c>
      <c r="J3" s="4">
        <f t="shared" ref="J3:J13" si="1">H3/I3</f>
        <v>0.5714285714285714</v>
      </c>
    </row>
    <row r="4" spans="1:10" x14ac:dyDescent="0.3">
      <c r="A4" s="4" t="s">
        <v>18</v>
      </c>
      <c r="B4" s="4" t="s">
        <v>13</v>
      </c>
      <c r="C4" s="4">
        <v>1</v>
      </c>
      <c r="D4" s="4">
        <v>2</v>
      </c>
      <c r="E4" s="4">
        <v>1</v>
      </c>
      <c r="F4" s="4">
        <v>0</v>
      </c>
      <c r="G4" s="4">
        <v>1</v>
      </c>
      <c r="H4" s="4">
        <f t="shared" si="0"/>
        <v>4</v>
      </c>
      <c r="I4" s="4">
        <v>7</v>
      </c>
      <c r="J4" s="4">
        <f t="shared" si="1"/>
        <v>0.5714285714285714</v>
      </c>
    </row>
    <row r="5" spans="1:10" x14ac:dyDescent="0.3">
      <c r="A5" s="4" t="s">
        <v>18</v>
      </c>
      <c r="B5" s="4" t="s">
        <v>14</v>
      </c>
      <c r="C5" s="4">
        <v>1</v>
      </c>
      <c r="D5" s="4">
        <v>2</v>
      </c>
      <c r="E5" s="4">
        <v>2</v>
      </c>
      <c r="F5" s="4">
        <v>0</v>
      </c>
      <c r="G5" s="4">
        <v>1</v>
      </c>
      <c r="H5" s="4">
        <f t="shared" si="0"/>
        <v>5</v>
      </c>
      <c r="I5" s="4">
        <v>7</v>
      </c>
      <c r="J5" s="4">
        <f t="shared" si="1"/>
        <v>0.7142857142857143</v>
      </c>
    </row>
    <row r="6" spans="1:10" x14ac:dyDescent="0.3">
      <c r="A6" s="4" t="s">
        <v>18</v>
      </c>
      <c r="B6" s="4" t="s">
        <v>15</v>
      </c>
      <c r="C6" s="4">
        <v>3</v>
      </c>
      <c r="D6" s="4">
        <v>2</v>
      </c>
      <c r="E6" s="4">
        <v>0</v>
      </c>
      <c r="F6" s="4">
        <v>0</v>
      </c>
      <c r="G6" s="4">
        <v>1</v>
      </c>
      <c r="H6" s="4">
        <f t="shared" si="0"/>
        <v>3</v>
      </c>
      <c r="I6" s="4">
        <v>7</v>
      </c>
      <c r="J6" s="4">
        <f t="shared" si="1"/>
        <v>0.42857142857142855</v>
      </c>
    </row>
    <row r="7" spans="1:10" x14ac:dyDescent="0.3">
      <c r="A7" s="4" t="s">
        <v>18</v>
      </c>
      <c r="B7" s="4" t="s">
        <v>16</v>
      </c>
      <c r="C7" s="4">
        <v>3</v>
      </c>
      <c r="D7" s="4">
        <v>2</v>
      </c>
      <c r="E7" s="4">
        <v>0</v>
      </c>
      <c r="F7" s="4">
        <v>0</v>
      </c>
      <c r="G7" s="4">
        <v>1</v>
      </c>
      <c r="H7" s="4">
        <f t="shared" si="0"/>
        <v>3</v>
      </c>
      <c r="I7" s="4">
        <v>7</v>
      </c>
      <c r="J7" s="4">
        <f t="shared" si="1"/>
        <v>0.42857142857142855</v>
      </c>
    </row>
    <row r="8" spans="1:10" x14ac:dyDescent="0.3">
      <c r="A8" s="7" t="s">
        <v>20</v>
      </c>
      <c r="B8" s="7" t="s">
        <v>11</v>
      </c>
      <c r="C8" s="7">
        <v>3</v>
      </c>
      <c r="D8" s="7">
        <v>2</v>
      </c>
      <c r="E8" s="7">
        <v>1</v>
      </c>
      <c r="F8" s="7">
        <v>2</v>
      </c>
      <c r="G8" s="7">
        <v>0</v>
      </c>
      <c r="H8" s="7">
        <f t="shared" si="0"/>
        <v>5</v>
      </c>
      <c r="I8" s="7">
        <v>7</v>
      </c>
      <c r="J8" s="7">
        <f t="shared" si="1"/>
        <v>0.7142857142857143</v>
      </c>
    </row>
    <row r="9" spans="1:10" x14ac:dyDescent="0.3">
      <c r="A9" s="7" t="s">
        <v>20</v>
      </c>
      <c r="B9" s="7" t="s">
        <v>12</v>
      </c>
      <c r="C9" s="7">
        <v>2</v>
      </c>
      <c r="D9" s="7">
        <v>2</v>
      </c>
      <c r="E9" s="7">
        <v>0</v>
      </c>
      <c r="F9" s="7">
        <v>2</v>
      </c>
      <c r="G9" s="7">
        <v>0</v>
      </c>
      <c r="H9" s="7">
        <f t="shared" si="0"/>
        <v>4</v>
      </c>
      <c r="I9" s="7">
        <v>7</v>
      </c>
      <c r="J9" s="7">
        <f t="shared" si="1"/>
        <v>0.5714285714285714</v>
      </c>
    </row>
    <row r="10" spans="1:10" x14ac:dyDescent="0.3">
      <c r="A10" s="7" t="s">
        <v>20</v>
      </c>
      <c r="B10" s="7" t="s">
        <v>13</v>
      </c>
      <c r="C10" s="7">
        <v>2</v>
      </c>
      <c r="D10" s="7">
        <v>2</v>
      </c>
      <c r="E10" s="7">
        <v>1</v>
      </c>
      <c r="F10" s="7">
        <v>0</v>
      </c>
      <c r="G10" s="7">
        <v>1</v>
      </c>
      <c r="H10" s="7">
        <f t="shared" si="0"/>
        <v>4</v>
      </c>
      <c r="I10" s="7">
        <v>7</v>
      </c>
      <c r="J10" s="7">
        <f t="shared" si="1"/>
        <v>0.5714285714285714</v>
      </c>
    </row>
    <row r="11" spans="1:10" x14ac:dyDescent="0.3">
      <c r="A11" s="7" t="s">
        <v>20</v>
      </c>
      <c r="B11" s="7" t="s">
        <v>14</v>
      </c>
      <c r="C11" s="7">
        <v>2</v>
      </c>
      <c r="D11" s="7">
        <v>2</v>
      </c>
      <c r="E11" s="7">
        <v>2</v>
      </c>
      <c r="F11" s="7">
        <v>0</v>
      </c>
      <c r="G11" s="7">
        <v>1</v>
      </c>
      <c r="H11" s="7">
        <f t="shared" si="0"/>
        <v>5</v>
      </c>
      <c r="I11" s="7">
        <v>7</v>
      </c>
      <c r="J11" s="7">
        <f t="shared" si="1"/>
        <v>0.7142857142857143</v>
      </c>
    </row>
    <row r="12" spans="1:10" x14ac:dyDescent="0.3">
      <c r="A12" s="7" t="s">
        <v>20</v>
      </c>
      <c r="B12" s="7" t="s">
        <v>15</v>
      </c>
      <c r="C12" s="7">
        <v>1</v>
      </c>
      <c r="D12" s="7">
        <v>0</v>
      </c>
      <c r="E12" s="7">
        <v>0</v>
      </c>
      <c r="F12" s="7">
        <v>0</v>
      </c>
      <c r="G12" s="7">
        <v>1</v>
      </c>
      <c r="H12" s="7">
        <f t="shared" si="0"/>
        <v>1</v>
      </c>
      <c r="I12" s="7">
        <v>7</v>
      </c>
      <c r="J12" s="7">
        <f t="shared" si="1"/>
        <v>0.14285714285714285</v>
      </c>
    </row>
    <row r="13" spans="1:10" x14ac:dyDescent="0.3">
      <c r="A13" s="7" t="s">
        <v>20</v>
      </c>
      <c r="B13" s="7" t="s">
        <v>16</v>
      </c>
      <c r="C13" s="7">
        <v>1</v>
      </c>
      <c r="D13" s="7">
        <v>0</v>
      </c>
      <c r="E13" s="7">
        <v>0</v>
      </c>
      <c r="F13" s="7">
        <v>0</v>
      </c>
      <c r="G13" s="7">
        <v>1</v>
      </c>
      <c r="H13" s="7">
        <f t="shared" si="0"/>
        <v>1</v>
      </c>
      <c r="I13" s="7">
        <v>7</v>
      </c>
      <c r="J13" s="7">
        <f t="shared" si="1"/>
        <v>0.14285714285714285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480C-098A-4D6C-B34D-0BE637456DDC}">
  <dimension ref="A1:F13"/>
  <sheetViews>
    <sheetView workbookViewId="0">
      <selection activeCell="A12" sqref="A1:A12"/>
    </sheetView>
  </sheetViews>
  <sheetFormatPr defaultRowHeight="14.4" x14ac:dyDescent="0.3"/>
  <cols>
    <col min="1" max="1" width="39.88671875" bestFit="1" customWidth="1"/>
    <col min="2" max="2" width="16" bestFit="1" customWidth="1"/>
    <col min="3" max="3" width="20.88671875" bestFit="1" customWidth="1"/>
    <col min="4" max="4" width="22.44140625" customWidth="1"/>
    <col min="5" max="5" width="18.21875" customWidth="1"/>
  </cols>
  <sheetData>
    <row r="1" spans="1:6" s="3" customFormat="1" ht="28.8" x14ac:dyDescent="0.3">
      <c r="A1" s="5" t="s">
        <v>17</v>
      </c>
      <c r="B1" s="5" t="s">
        <v>24</v>
      </c>
      <c r="C1" s="5" t="s">
        <v>25</v>
      </c>
      <c r="D1" s="6" t="s">
        <v>26</v>
      </c>
      <c r="E1" s="8" t="s">
        <v>27</v>
      </c>
    </row>
    <row r="2" spans="1:6" x14ac:dyDescent="0.3">
      <c r="A2" s="4" t="s">
        <v>3</v>
      </c>
      <c r="B2" s="4">
        <v>4</v>
      </c>
      <c r="C2" s="4">
        <v>3</v>
      </c>
      <c r="D2" s="4">
        <f>B2*C2</f>
        <v>12</v>
      </c>
      <c r="E2" s="4">
        <f>D2/SUM($D$2:$D$12)*100</f>
        <v>15.584415584415584</v>
      </c>
      <c r="F2" s="2"/>
    </row>
    <row r="3" spans="1:6" x14ac:dyDescent="0.3">
      <c r="A3" s="4" t="s">
        <v>4</v>
      </c>
      <c r="B3" s="4">
        <v>4</v>
      </c>
      <c r="C3" s="4">
        <v>2</v>
      </c>
      <c r="D3" s="4">
        <f t="shared" ref="D3:D12" si="0">B3*C3</f>
        <v>8</v>
      </c>
      <c r="E3" s="4">
        <f t="shared" ref="E3:E12" si="1">D3/SUM($D$2:$D$12)*100</f>
        <v>10.38961038961039</v>
      </c>
      <c r="F3" s="2"/>
    </row>
    <row r="4" spans="1:6" x14ac:dyDescent="0.3">
      <c r="A4" s="4" t="s">
        <v>5</v>
      </c>
      <c r="B4" s="4">
        <v>4</v>
      </c>
      <c r="C4" s="4">
        <v>1</v>
      </c>
      <c r="D4" s="4">
        <f t="shared" si="0"/>
        <v>4</v>
      </c>
      <c r="E4" s="4">
        <f t="shared" si="1"/>
        <v>5.1948051948051948</v>
      </c>
      <c r="F4" s="2"/>
    </row>
    <row r="5" spans="1:6" x14ac:dyDescent="0.3">
      <c r="A5" s="4" t="s">
        <v>6</v>
      </c>
      <c r="B5" s="4">
        <v>4</v>
      </c>
      <c r="C5" s="4">
        <v>1</v>
      </c>
      <c r="D5" s="4">
        <f t="shared" si="0"/>
        <v>4</v>
      </c>
      <c r="E5" s="4">
        <f t="shared" si="1"/>
        <v>5.1948051948051948</v>
      </c>
      <c r="F5" s="2"/>
    </row>
    <row r="6" spans="1:6" x14ac:dyDescent="0.3">
      <c r="A6" s="4" t="s">
        <v>7</v>
      </c>
      <c r="B6" s="4">
        <v>4</v>
      </c>
      <c r="C6" s="4">
        <v>2</v>
      </c>
      <c r="D6" s="4">
        <f t="shared" si="0"/>
        <v>8</v>
      </c>
      <c r="E6" s="4">
        <f t="shared" si="1"/>
        <v>10.38961038961039</v>
      </c>
      <c r="F6" s="2"/>
    </row>
    <row r="7" spans="1:6" x14ac:dyDescent="0.3">
      <c r="A7" s="4" t="s">
        <v>11</v>
      </c>
      <c r="B7" s="4">
        <v>2</v>
      </c>
      <c r="C7" s="4">
        <v>5</v>
      </c>
      <c r="D7" s="4">
        <f t="shared" si="0"/>
        <v>10</v>
      </c>
      <c r="E7" s="4">
        <f t="shared" si="1"/>
        <v>12.987012987012985</v>
      </c>
      <c r="F7" s="2"/>
    </row>
    <row r="8" spans="1:6" x14ac:dyDescent="0.3">
      <c r="A8" s="4" t="s">
        <v>12</v>
      </c>
      <c r="B8" s="4">
        <v>1</v>
      </c>
      <c r="C8" s="4">
        <v>4</v>
      </c>
      <c r="D8" s="4">
        <f t="shared" si="0"/>
        <v>4</v>
      </c>
      <c r="E8" s="4">
        <f t="shared" si="1"/>
        <v>5.1948051948051948</v>
      </c>
      <c r="F8" s="2"/>
    </row>
    <row r="9" spans="1:6" x14ac:dyDescent="0.3">
      <c r="A9" s="4" t="s">
        <v>13</v>
      </c>
      <c r="B9" s="4">
        <v>1</v>
      </c>
      <c r="C9" s="4">
        <v>4</v>
      </c>
      <c r="D9" s="4">
        <f t="shared" si="0"/>
        <v>4</v>
      </c>
      <c r="E9" s="4">
        <f t="shared" si="1"/>
        <v>5.1948051948051948</v>
      </c>
      <c r="F9" s="2"/>
    </row>
    <row r="10" spans="1:6" x14ac:dyDescent="0.3">
      <c r="A10" s="4" t="s">
        <v>14</v>
      </c>
      <c r="B10" s="4">
        <v>1</v>
      </c>
      <c r="C10" s="4">
        <v>5</v>
      </c>
      <c r="D10" s="4">
        <f t="shared" si="0"/>
        <v>5</v>
      </c>
      <c r="E10" s="4">
        <f t="shared" si="1"/>
        <v>6.4935064935064926</v>
      </c>
      <c r="F10" s="2"/>
    </row>
    <row r="11" spans="1:6" x14ac:dyDescent="0.3">
      <c r="A11" s="4" t="s">
        <v>15</v>
      </c>
      <c r="B11" s="4">
        <v>3</v>
      </c>
      <c r="C11" s="4">
        <v>3</v>
      </c>
      <c r="D11" s="4">
        <f t="shared" si="0"/>
        <v>9</v>
      </c>
      <c r="E11" s="4">
        <f t="shared" si="1"/>
        <v>11.688311688311687</v>
      </c>
      <c r="F11" s="2"/>
    </row>
    <row r="12" spans="1:6" x14ac:dyDescent="0.3">
      <c r="A12" s="4" t="s">
        <v>16</v>
      </c>
      <c r="B12" s="4">
        <v>3</v>
      </c>
      <c r="C12" s="4">
        <v>3</v>
      </c>
      <c r="D12" s="4">
        <f t="shared" si="0"/>
        <v>9</v>
      </c>
      <c r="E12" s="4">
        <f t="shared" si="1"/>
        <v>11.688311688311687</v>
      </c>
      <c r="F12" s="2"/>
    </row>
    <row r="13" spans="1:6" x14ac:dyDescent="0.3">
      <c r="B13" s="1"/>
      <c r="C13" s="1"/>
      <c r="E13" s="1"/>
    </row>
  </sheetData>
  <pageMargins left="0.7" right="0.7" top="0.75" bottom="0.75" header="0.3" footer="0.3"/>
  <headerFooter>
    <oddHeader>&amp;C&amp;"Aptos"&amp;8&amp;K000000 SMU Classification: Restricted&amp;1#_x000D_</oddHead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8B1F-F624-4E6C-AE70-F86006374B58}">
  <dimension ref="A1:E13"/>
  <sheetViews>
    <sheetView workbookViewId="0">
      <selection activeCell="C17" sqref="C17"/>
    </sheetView>
  </sheetViews>
  <sheetFormatPr defaultRowHeight="14.4" x14ac:dyDescent="0.3"/>
  <cols>
    <col min="2" max="2" width="16.44140625" bestFit="1" customWidth="1"/>
    <col min="3" max="3" width="22.77734375" bestFit="1" customWidth="1"/>
    <col min="4" max="4" width="16.5546875" customWidth="1"/>
  </cols>
  <sheetData>
    <row r="1" spans="1:5" ht="72" x14ac:dyDescent="0.3">
      <c r="A1" s="5" t="s">
        <v>17</v>
      </c>
      <c r="B1" s="5" t="s">
        <v>24</v>
      </c>
      <c r="C1" s="5" t="s">
        <v>25</v>
      </c>
      <c r="D1" s="6" t="s">
        <v>26</v>
      </c>
      <c r="E1" s="8" t="s">
        <v>27</v>
      </c>
    </row>
    <row r="2" spans="1:5" x14ac:dyDescent="0.3">
      <c r="A2" s="7" t="s">
        <v>3</v>
      </c>
      <c r="B2" s="7">
        <v>4</v>
      </c>
      <c r="C2" s="7">
        <v>3</v>
      </c>
      <c r="D2" s="7">
        <f>B2*C2</f>
        <v>12</v>
      </c>
      <c r="E2" s="7">
        <f>D2/SUM($D$2:$D$12)*100</f>
        <v>15.18987341772152</v>
      </c>
    </row>
    <row r="3" spans="1:5" x14ac:dyDescent="0.3">
      <c r="A3" s="7" t="s">
        <v>4</v>
      </c>
      <c r="B3" s="7">
        <v>4</v>
      </c>
      <c r="C3" s="7">
        <v>2</v>
      </c>
      <c r="D3" s="7">
        <f t="shared" ref="D3:D12" si="0">B3*C3</f>
        <v>8</v>
      </c>
      <c r="E3" s="7">
        <f t="shared" ref="E3:E12" si="1">D3/SUM($D$2:$D$12)*100</f>
        <v>10.126582278481013</v>
      </c>
    </row>
    <row r="4" spans="1:5" x14ac:dyDescent="0.3">
      <c r="A4" s="7" t="s">
        <v>5</v>
      </c>
      <c r="B4" s="7">
        <v>4</v>
      </c>
      <c r="C4" s="7">
        <v>1</v>
      </c>
      <c r="D4" s="7">
        <f t="shared" si="0"/>
        <v>4</v>
      </c>
      <c r="E4" s="7">
        <f t="shared" si="1"/>
        <v>5.0632911392405067</v>
      </c>
    </row>
    <row r="5" spans="1:5" x14ac:dyDescent="0.3">
      <c r="A5" s="7" t="s">
        <v>6</v>
      </c>
      <c r="B5" s="7">
        <v>4</v>
      </c>
      <c r="C5" s="7">
        <v>1</v>
      </c>
      <c r="D5" s="7">
        <f t="shared" si="0"/>
        <v>4</v>
      </c>
      <c r="E5" s="7">
        <f t="shared" si="1"/>
        <v>5.0632911392405067</v>
      </c>
    </row>
    <row r="6" spans="1:5" x14ac:dyDescent="0.3">
      <c r="A6" s="7" t="s">
        <v>7</v>
      </c>
      <c r="B6" s="7">
        <v>4</v>
      </c>
      <c r="C6" s="7">
        <v>2</v>
      </c>
      <c r="D6" s="7">
        <f t="shared" si="0"/>
        <v>8</v>
      </c>
      <c r="E6" s="7">
        <f t="shared" si="1"/>
        <v>10.126582278481013</v>
      </c>
    </row>
    <row r="7" spans="1:5" x14ac:dyDescent="0.3">
      <c r="A7" s="7" t="s">
        <v>11</v>
      </c>
      <c r="B7" s="7">
        <v>3</v>
      </c>
      <c r="C7" s="7">
        <v>5</v>
      </c>
      <c r="D7" s="7">
        <f t="shared" si="0"/>
        <v>15</v>
      </c>
      <c r="E7" s="7">
        <f t="shared" si="1"/>
        <v>18.9873417721519</v>
      </c>
    </row>
    <row r="8" spans="1:5" x14ac:dyDescent="0.3">
      <c r="A8" s="7" t="s">
        <v>12</v>
      </c>
      <c r="B8" s="7">
        <v>2</v>
      </c>
      <c r="C8" s="7">
        <v>4</v>
      </c>
      <c r="D8" s="7">
        <f t="shared" si="0"/>
        <v>8</v>
      </c>
      <c r="E8" s="7">
        <f t="shared" si="1"/>
        <v>10.126582278481013</v>
      </c>
    </row>
    <row r="9" spans="1:5" x14ac:dyDescent="0.3">
      <c r="A9" s="7" t="s">
        <v>13</v>
      </c>
      <c r="B9" s="7">
        <v>2</v>
      </c>
      <c r="C9" s="7">
        <v>4</v>
      </c>
      <c r="D9" s="7">
        <f t="shared" si="0"/>
        <v>8</v>
      </c>
      <c r="E9" s="7">
        <f t="shared" si="1"/>
        <v>10.126582278481013</v>
      </c>
    </row>
    <row r="10" spans="1:5" x14ac:dyDescent="0.3">
      <c r="A10" s="7" t="s">
        <v>14</v>
      </c>
      <c r="B10" s="7">
        <v>2</v>
      </c>
      <c r="C10" s="7">
        <v>5</v>
      </c>
      <c r="D10" s="7">
        <f t="shared" si="0"/>
        <v>10</v>
      </c>
      <c r="E10" s="7">
        <f t="shared" si="1"/>
        <v>12.658227848101266</v>
      </c>
    </row>
    <row r="11" spans="1:5" x14ac:dyDescent="0.3">
      <c r="A11" s="7" t="s">
        <v>15</v>
      </c>
      <c r="B11" s="7">
        <v>1</v>
      </c>
      <c r="C11" s="7">
        <v>1</v>
      </c>
      <c r="D11" s="7">
        <f t="shared" si="0"/>
        <v>1</v>
      </c>
      <c r="E11" s="7">
        <f t="shared" si="1"/>
        <v>1.2658227848101267</v>
      </c>
    </row>
    <row r="12" spans="1:5" x14ac:dyDescent="0.3">
      <c r="A12" s="7" t="s">
        <v>16</v>
      </c>
      <c r="B12" s="7">
        <v>1</v>
      </c>
      <c r="C12" s="7">
        <v>1</v>
      </c>
      <c r="D12" s="7">
        <f t="shared" si="0"/>
        <v>1</v>
      </c>
      <c r="E12" s="7">
        <f t="shared" si="1"/>
        <v>1.2658227848101267</v>
      </c>
    </row>
    <row r="13" spans="1:5" x14ac:dyDescent="0.3">
      <c r="B13" s="1"/>
      <c r="C13" s="1"/>
      <c r="D13" s="1"/>
      <c r="E13" s="1"/>
    </row>
  </sheetData>
  <pageMargins left="0.7" right="0.7" top="0.75" bottom="0.75" header="0.3" footer="0.3"/>
  <headerFooter>
    <oddHeader>&amp;C&amp;"Aptos"&amp;8&amp;K000000 SMU Classification: Restricted&amp;1#_x000D_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555A-55E3-4913-AC93-66EBFA736C31}">
  <dimension ref="A1:D15"/>
  <sheetViews>
    <sheetView tabSelected="1" workbookViewId="0">
      <selection activeCell="A17" sqref="A17"/>
    </sheetView>
  </sheetViews>
  <sheetFormatPr defaultRowHeight="14.4" x14ac:dyDescent="0.3"/>
  <cols>
    <col min="1" max="1" width="39.88671875" bestFit="1" customWidth="1"/>
    <col min="2" max="2" width="13.21875" bestFit="1" customWidth="1"/>
    <col min="3" max="3" width="10.77734375" bestFit="1" customWidth="1"/>
    <col min="4" max="4" width="11" bestFit="1" customWidth="1"/>
  </cols>
  <sheetData>
    <row r="1" spans="1:4" x14ac:dyDescent="0.3">
      <c r="A1" s="5" t="s">
        <v>17</v>
      </c>
      <c r="B1" s="5" t="s">
        <v>34</v>
      </c>
      <c r="C1" s="5" t="s">
        <v>28</v>
      </c>
      <c r="D1" s="5" t="s">
        <v>29</v>
      </c>
    </row>
    <row r="2" spans="1:4" x14ac:dyDescent="0.3">
      <c r="A2" s="4" t="s">
        <v>30</v>
      </c>
      <c r="B2" s="4" t="s">
        <v>35</v>
      </c>
      <c r="C2">
        <v>25</v>
      </c>
      <c r="D2">
        <v>75</v>
      </c>
    </row>
    <row r="3" spans="1:4" x14ac:dyDescent="0.3">
      <c r="A3" s="4" t="s">
        <v>4</v>
      </c>
      <c r="B3" s="4" t="s">
        <v>36</v>
      </c>
      <c r="C3">
        <v>0.14000000000000001</v>
      </c>
      <c r="D3">
        <v>0.21</v>
      </c>
    </row>
    <row r="4" spans="1:4" x14ac:dyDescent="0.3">
      <c r="A4" s="4" t="s">
        <v>31</v>
      </c>
      <c r="B4" s="4" t="s">
        <v>35</v>
      </c>
      <c r="C4">
        <v>25</v>
      </c>
      <c r="D4">
        <v>75</v>
      </c>
    </row>
    <row r="5" spans="1:4" x14ac:dyDescent="0.3">
      <c r="A5" s="4" t="s">
        <v>32</v>
      </c>
      <c r="B5" s="4" t="s">
        <v>35</v>
      </c>
      <c r="C5">
        <v>25</v>
      </c>
      <c r="D5">
        <v>75</v>
      </c>
    </row>
    <row r="6" spans="1:4" x14ac:dyDescent="0.3">
      <c r="A6" s="4" t="s">
        <v>11</v>
      </c>
      <c r="B6" s="4" t="s">
        <v>35</v>
      </c>
      <c r="C6">
        <v>25</v>
      </c>
      <c r="D6">
        <v>75</v>
      </c>
    </row>
    <row r="7" spans="1:4" x14ac:dyDescent="0.3">
      <c r="A7" s="4" t="s">
        <v>12</v>
      </c>
      <c r="B7" s="4" t="s">
        <v>35</v>
      </c>
      <c r="C7">
        <v>25</v>
      </c>
      <c r="D7">
        <v>75</v>
      </c>
    </row>
    <row r="8" spans="1:4" x14ac:dyDescent="0.3">
      <c r="A8" s="4" t="s">
        <v>13</v>
      </c>
      <c r="B8" s="4" t="s">
        <v>35</v>
      </c>
      <c r="C8">
        <v>25</v>
      </c>
      <c r="D8">
        <v>75</v>
      </c>
    </row>
    <row r="9" spans="1:4" x14ac:dyDescent="0.3">
      <c r="A9" s="4" t="s">
        <v>14</v>
      </c>
      <c r="B9" s="4" t="s">
        <v>36</v>
      </c>
      <c r="C9">
        <f>6*60</f>
        <v>360</v>
      </c>
      <c r="D9">
        <f>8*60</f>
        <v>480</v>
      </c>
    </row>
    <row r="10" spans="1:4" x14ac:dyDescent="0.3">
      <c r="A10" s="4" t="s">
        <v>15</v>
      </c>
      <c r="B10" s="4" t="s">
        <v>35</v>
      </c>
      <c r="C10">
        <v>25</v>
      </c>
      <c r="D10">
        <v>75</v>
      </c>
    </row>
    <row r="11" spans="1:4" x14ac:dyDescent="0.3">
      <c r="A11" s="4" t="s">
        <v>33</v>
      </c>
      <c r="B11" s="4" t="s">
        <v>35</v>
      </c>
      <c r="C11">
        <v>25</v>
      </c>
      <c r="D11">
        <v>75</v>
      </c>
    </row>
    <row r="12" spans="1:4" x14ac:dyDescent="0.3">
      <c r="A12" t="s">
        <v>37</v>
      </c>
      <c r="B12" s="4" t="s">
        <v>36</v>
      </c>
      <c r="C12">
        <v>31</v>
      </c>
      <c r="D12">
        <v>33</v>
      </c>
    </row>
    <row r="13" spans="1:4" x14ac:dyDescent="0.3">
      <c r="A13" t="s">
        <v>38</v>
      </c>
      <c r="B13" s="4" t="s">
        <v>36</v>
      </c>
      <c r="C13">
        <v>23.9</v>
      </c>
      <c r="D13">
        <v>26.3</v>
      </c>
    </row>
    <row r="14" spans="1:4" x14ac:dyDescent="0.3">
      <c r="A14" t="s">
        <v>39</v>
      </c>
      <c r="B14" s="4" t="s">
        <v>35</v>
      </c>
      <c r="C14">
        <v>25</v>
      </c>
      <c r="D14">
        <v>75</v>
      </c>
    </row>
    <row r="15" spans="1:4" x14ac:dyDescent="0.3">
      <c r="A15" t="s">
        <v>40</v>
      </c>
      <c r="B15" s="4" t="s">
        <v>35</v>
      </c>
      <c r="C15">
        <v>25</v>
      </c>
      <c r="D15">
        <v>75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6951d41b-6b8e-4636-984f-012bff14ba18}" enabled="1" method="Standard" siteId="{c98a79ca-5a9a-4791-a243-f06afd67464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Sensitivity</vt:lpstr>
      <vt:lpstr>Capacity</vt:lpstr>
      <vt:lpstr>Day</vt:lpstr>
      <vt:lpstr>Night</vt:lpstr>
      <vt:lpstr>Thresholds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 Hui Ying</dc:creator>
  <cp:lastModifiedBy>PAK Hui Ying</cp:lastModifiedBy>
  <dcterms:created xsi:type="dcterms:W3CDTF">2026-01-23T15:55:18Z</dcterms:created>
  <dcterms:modified xsi:type="dcterms:W3CDTF">2026-01-24T03:38:02Z</dcterms:modified>
</cp:coreProperties>
</file>